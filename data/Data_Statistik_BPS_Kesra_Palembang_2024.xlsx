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ebsyahril\data\"/>
    </mc:Choice>
  </mc:AlternateContent>
  <xr:revisionPtr revIDLastSave="0" documentId="13_ncr:1_{95ABB1E2-3A6D-47F6-BE43-8696ABFA1A1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Kesra BPS Palembang 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" l="1"/>
  <c r="C26" i="1"/>
  <c r="I25" i="1"/>
  <c r="H25" i="1"/>
  <c r="G25" i="1"/>
  <c r="F25" i="1"/>
  <c r="E25" i="1"/>
  <c r="D25" i="1"/>
  <c r="C25" i="1"/>
</calcChain>
</file>

<file path=xl/sharedStrings.xml><?xml version="1.0" encoding="utf-8"?>
<sst xmlns="http://schemas.openxmlformats.org/spreadsheetml/2006/main" count="38" uniqueCount="34">
  <si>
    <t>PEMERINTAH KOTA PALEMBANG - SEKRETARIAT DAERAH</t>
  </si>
  <si>
    <t>BAGIAN KESEJAHTERAAN RAKYAT (KESRA) &amp; BADAN PUSAT STATISTIK (BPS) KOTA PALEMBANG</t>
  </si>
  <si>
    <t>DATA STATISTIK INDIKATOR SOSIAL-EKONOMI &amp; KERENTANAN KEMISKINAN 18 KECAMATAN TAHUN 2023-2024</t>
  </si>
  <si>
    <t>Sumber Data Sekunder: Bagian Kesra Sekretariat Daerah Kota Palembang &amp; Publikasi BPS Kota Palembang (Palembang Dalam Angka 2024)</t>
  </si>
  <si>
    <t>No</t>
  </si>
  <si>
    <t>Kecamatan</t>
  </si>
  <si>
    <t>Jumlah Penduduk Miskin (Jiwa)</t>
  </si>
  <si>
    <t>Tingkat Pengangguran (%)</t>
  </si>
  <si>
    <t>Pendapatan Rata-Rata (Rp/Bln)</t>
  </si>
  <si>
    <t>Kepadatan Penduduk (Jiwa/Km²)</t>
  </si>
  <si>
    <t>Akses Fasilitas Publik (Skor)</t>
  </si>
  <si>
    <t>Jumlah KK Penerima Bansos (KK)</t>
  </si>
  <si>
    <t>Indeks Pembangunan Manusia (IPM)</t>
  </si>
  <si>
    <t>Ilir Timur I</t>
  </si>
  <si>
    <t>Ilir Timur II</t>
  </si>
  <si>
    <t>Ilir Timur III</t>
  </si>
  <si>
    <t>Ilir Barat I</t>
  </si>
  <si>
    <t>Ilir Barat II</t>
  </si>
  <si>
    <t>Seberang Ulu I</t>
  </si>
  <si>
    <t>Seberang Ulu II</t>
  </si>
  <si>
    <t>Bukit Kecil</t>
  </si>
  <si>
    <t>Gandus</t>
  </si>
  <si>
    <t>Kertapati</t>
  </si>
  <si>
    <t>Plaju</t>
  </si>
  <si>
    <t>Sako</t>
  </si>
  <si>
    <t>Sematang Borang</t>
  </si>
  <si>
    <t>Sukarami</t>
  </si>
  <si>
    <t>Alang-Alang Lebar</t>
  </si>
  <si>
    <t>Kalidoni</t>
  </si>
  <si>
    <t>Kemuning</t>
  </si>
  <si>
    <t>Jakabaring</t>
  </si>
  <si>
    <t>RATA-RATA KOTA PALEMBANG</t>
  </si>
  <si>
    <t>TOTAL KOTA PALEMBANG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</si>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</sst>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R\p\ #,##0"/>
  </numFmts>
  <fonts count="8" x14ac:knownFonts="1">
    <font>
      <sz val="11"/>
      <color theme="1"/>
      <name val="Calibri"/>
      <family val="2"/>
      <scheme val="minor"/>
    </font>
    <font>
      <b/>
      <sz val="12"/>
      <color rgb="FF1E3A8A"/>
      <name val="Arial"/>
    </font>
    <font>
      <b/>
      <sz val="14"/>
      <color rgb="FF0F172A"/>
      <name val="Arial"/>
    </font>
    <font>
      <b/>
      <sz val="11"/>
      <color rgb="FF334155"/>
      <name val="Arial"/>
    </font>
    <font>
      <i/>
      <sz val="10"/>
      <color rgb="FF475569"/>
      <name val="Arial"/>
    </font>
    <font>
      <b/>
      <sz val="11"/>
      <color rgb="FFFFFFFF"/>
      <name val="Arial"/>
    </font>
    <font>
      <sz val="10"/>
      <color rgb="FF1E293B"/>
      <name val="Arial"/>
    </font>
    <font>
      <b/>
      <sz val="10"/>
      <color rgb="FF0F172A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1E3A8A"/>
      </top>
      <bottom/>
      <diagonal/>
    </border>
    <border>
      <left/>
      <right/>
      <top style="thin">
        <color rgb="FFCBD5E1"/>
      </top>
      <bottom style="double">
        <color rgb="FF1E3A8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" fontId="6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0" fontId="7" fillId="0" borderId="2" xfId="0" applyFont="1" applyBorder="1"/>
    <xf numFmtId="3" fontId="7" fillId="0" borderId="2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right"/>
    </xf>
    <xf numFmtId="165" fontId="7" fillId="0" borderId="2" xfId="0" applyNumberFormat="1" applyFont="1" applyBorder="1" applyAlignment="1">
      <alignment horizontal="right"/>
    </xf>
    <xf numFmtId="2" fontId="7" fillId="0" borderId="2" xfId="0" applyNumberFormat="1" applyFont="1" applyBorder="1" applyAlignment="1">
      <alignment horizontal="right"/>
    </xf>
    <xf numFmtId="0" fontId="7" fillId="0" borderId="3" xfId="0" applyFont="1" applyBorder="1"/>
    <xf numFmtId="3" fontId="7" fillId="0" borderId="3" xfId="0" applyNumberFormat="1" applyFont="1" applyBorder="1" applyAlignment="1">
      <alignment horizontal="right"/>
    </xf>
    <xf numFmtId="0" fontId="7" fillId="0" borderId="3" xfId="0" applyFont="1" applyBorder="1" applyAlignment="1">
      <alignment horizontal="center"/>
    </xf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13" zoomScale="85" zoomScaleNormal="85" workbookViewId="0">
      <selection activeCell="C31" sqref="C31"/>
    </sheetView>
  </sheetViews>
  <sheetFormatPr defaultRowHeight="14.4" x14ac:dyDescent="0.3"/>
  <cols>
    <col min="1" max="1" width="6" customWidth="1"/>
    <col min="2" max="2" width="22" customWidth="1"/>
    <col min="3" max="3" width="25" customWidth="1"/>
    <col min="4" max="4" width="20" customWidth="1"/>
    <col min="5" max="6" width="24" customWidth="1"/>
    <col min="7" max="7" width="22" customWidth="1"/>
    <col min="8" max="8" width="25" customWidth="1"/>
    <col min="9" max="9" width="24" customWidth="1"/>
  </cols>
  <sheetData>
    <row r="1" spans="1:9" ht="15.6" x14ac:dyDescent="0.3">
      <c r="A1" s="23" t="s">
        <v>0</v>
      </c>
      <c r="B1" s="20"/>
      <c r="C1" s="20"/>
      <c r="D1" s="20"/>
      <c r="E1" s="20"/>
      <c r="F1" s="20"/>
      <c r="G1" s="20"/>
      <c r="H1" s="20"/>
    </row>
    <row r="2" spans="1:9" ht="17.399999999999999" x14ac:dyDescent="0.3">
      <c r="A2" s="22" t="s">
        <v>1</v>
      </c>
      <c r="B2" s="20"/>
      <c r="C2" s="20"/>
      <c r="D2" s="20"/>
      <c r="E2" s="20"/>
      <c r="F2" s="20"/>
      <c r="G2" s="20"/>
      <c r="H2" s="20"/>
    </row>
    <row r="3" spans="1:9" x14ac:dyDescent="0.3">
      <c r="A3" s="21" t="s">
        <v>2</v>
      </c>
      <c r="B3" s="20"/>
      <c r="C3" s="20"/>
      <c r="D3" s="20"/>
      <c r="E3" s="20"/>
      <c r="F3" s="20"/>
      <c r="G3" s="20"/>
      <c r="H3" s="20"/>
    </row>
    <row r="4" spans="1:9" x14ac:dyDescent="0.3">
      <c r="A4" s="19" t="s">
        <v>3</v>
      </c>
      <c r="B4" s="20"/>
      <c r="C4" s="20"/>
      <c r="D4" s="20"/>
      <c r="E4" s="20"/>
      <c r="F4" s="20"/>
      <c r="G4" s="20"/>
      <c r="H4" s="20"/>
    </row>
    <row r="6" spans="1:9" ht="28.05" customHeight="1" x14ac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</row>
    <row r="7" spans="1:9" ht="19.95" customHeight="1" x14ac:dyDescent="0.3">
      <c r="A7" s="2">
        <v>1</v>
      </c>
      <c r="B7" s="3" t="s">
        <v>13</v>
      </c>
      <c r="C7" s="4">
        <v>3240</v>
      </c>
      <c r="D7" s="5">
        <v>4.2</v>
      </c>
      <c r="E7" s="6">
        <v>3850000</v>
      </c>
      <c r="F7" s="4">
        <v>7850</v>
      </c>
      <c r="G7" s="7">
        <v>88</v>
      </c>
      <c r="H7" s="4">
        <v>1420</v>
      </c>
      <c r="I7" s="8">
        <v>79.8</v>
      </c>
    </row>
    <row r="8" spans="1:9" ht="19.95" customHeight="1" x14ac:dyDescent="0.3">
      <c r="A8" s="2">
        <v>2</v>
      </c>
      <c r="B8" s="3" t="s">
        <v>14</v>
      </c>
      <c r="C8" s="4">
        <v>4120</v>
      </c>
      <c r="D8" s="5">
        <v>4.8</v>
      </c>
      <c r="E8" s="6">
        <v>3600000</v>
      </c>
      <c r="F8" s="4">
        <v>6900</v>
      </c>
      <c r="G8" s="7">
        <v>84</v>
      </c>
      <c r="H8" s="4">
        <v>1850</v>
      </c>
      <c r="I8" s="8">
        <v>78.2</v>
      </c>
    </row>
    <row r="9" spans="1:9" ht="19.95" customHeight="1" x14ac:dyDescent="0.3">
      <c r="A9" s="2">
        <v>3</v>
      </c>
      <c r="B9" s="3" t="s">
        <v>15</v>
      </c>
      <c r="C9" s="4">
        <v>3890</v>
      </c>
      <c r="D9" s="5">
        <v>4.5</v>
      </c>
      <c r="E9" s="6">
        <v>3720000</v>
      </c>
      <c r="F9" s="4">
        <v>7100</v>
      </c>
      <c r="G9" s="7">
        <v>85</v>
      </c>
      <c r="H9" s="4">
        <v>1680</v>
      </c>
      <c r="I9" s="8">
        <v>78.900000000000006</v>
      </c>
    </row>
    <row r="10" spans="1:9" ht="19.95" customHeight="1" x14ac:dyDescent="0.3">
      <c r="A10" s="2">
        <v>4</v>
      </c>
      <c r="B10" s="3" t="s">
        <v>16</v>
      </c>
      <c r="C10" s="4">
        <v>4560</v>
      </c>
      <c r="D10" s="5">
        <v>5.0999999999999996</v>
      </c>
      <c r="E10" s="6">
        <v>3450000</v>
      </c>
      <c r="F10" s="4">
        <v>6400</v>
      </c>
      <c r="G10" s="7">
        <v>82</v>
      </c>
      <c r="H10" s="4">
        <v>2100</v>
      </c>
      <c r="I10" s="8">
        <v>77.5</v>
      </c>
    </row>
    <row r="11" spans="1:9" ht="19.95" customHeight="1" x14ac:dyDescent="0.3">
      <c r="A11" s="2">
        <v>5</v>
      </c>
      <c r="B11" s="3" t="s">
        <v>17</v>
      </c>
      <c r="C11" s="4">
        <v>6780</v>
      </c>
      <c r="D11" s="5">
        <v>6.4</v>
      </c>
      <c r="E11" s="6">
        <v>2850000</v>
      </c>
      <c r="F11" s="4">
        <v>8200</v>
      </c>
      <c r="G11" s="7">
        <v>73</v>
      </c>
      <c r="H11" s="4">
        <v>3400</v>
      </c>
      <c r="I11" s="8">
        <v>74.099999999999994</v>
      </c>
    </row>
    <row r="12" spans="1:9" ht="19.95" customHeight="1" x14ac:dyDescent="0.3">
      <c r="A12" s="2">
        <v>6</v>
      </c>
      <c r="B12" s="3" t="s">
        <v>18</v>
      </c>
      <c r="C12" s="4">
        <v>11450</v>
      </c>
      <c r="D12" s="5">
        <v>8.6999999999999993</v>
      </c>
      <c r="E12" s="6">
        <v>2150000</v>
      </c>
      <c r="F12" s="4">
        <v>9400</v>
      </c>
      <c r="G12" s="7">
        <v>58</v>
      </c>
      <c r="H12" s="4">
        <v>6200</v>
      </c>
      <c r="I12" s="8">
        <v>71.2</v>
      </c>
    </row>
    <row r="13" spans="1:9" ht="19.95" customHeight="1" x14ac:dyDescent="0.3">
      <c r="A13" s="2">
        <v>7</v>
      </c>
      <c r="B13" s="3" t="s">
        <v>19</v>
      </c>
      <c r="C13" s="4">
        <v>10200</v>
      </c>
      <c r="D13" s="5">
        <v>8.1999999999999993</v>
      </c>
      <c r="E13" s="6">
        <v>2250000</v>
      </c>
      <c r="F13" s="4">
        <v>9100</v>
      </c>
      <c r="G13" s="7">
        <v>61</v>
      </c>
      <c r="H13" s="4">
        <v>5800</v>
      </c>
      <c r="I13" s="8">
        <v>71.8</v>
      </c>
    </row>
    <row r="14" spans="1:9" ht="19.95" customHeight="1" x14ac:dyDescent="0.3">
      <c r="A14" s="2">
        <v>8</v>
      </c>
      <c r="B14" s="3" t="s">
        <v>20</v>
      </c>
      <c r="C14" s="4">
        <v>2850</v>
      </c>
      <c r="D14" s="5">
        <v>3.9</v>
      </c>
      <c r="E14" s="6">
        <v>4100000</v>
      </c>
      <c r="F14" s="4">
        <v>8100</v>
      </c>
      <c r="G14" s="7">
        <v>91</v>
      </c>
      <c r="H14" s="4">
        <v>1150</v>
      </c>
      <c r="I14" s="8">
        <v>81.400000000000006</v>
      </c>
    </row>
    <row r="15" spans="1:9" ht="19.95" customHeight="1" x14ac:dyDescent="0.3">
      <c r="A15" s="2">
        <v>9</v>
      </c>
      <c r="B15" s="3" t="s">
        <v>21</v>
      </c>
      <c r="C15" s="4">
        <v>12800</v>
      </c>
      <c r="D15" s="5">
        <v>9.3000000000000007</v>
      </c>
      <c r="E15" s="6">
        <v>1950000</v>
      </c>
      <c r="F15" s="4">
        <v>3200</v>
      </c>
      <c r="G15" s="7">
        <v>52</v>
      </c>
      <c r="H15" s="4">
        <v>6900</v>
      </c>
      <c r="I15" s="8">
        <v>69.5</v>
      </c>
    </row>
    <row r="16" spans="1:9" ht="19.95" customHeight="1" x14ac:dyDescent="0.3">
      <c r="A16" s="2">
        <v>10</v>
      </c>
      <c r="B16" s="3" t="s">
        <v>22</v>
      </c>
      <c r="C16" s="4">
        <v>14200</v>
      </c>
      <c r="D16" s="5">
        <v>9.8000000000000007</v>
      </c>
      <c r="E16" s="6">
        <v>1850000</v>
      </c>
      <c r="F16" s="4">
        <v>4100</v>
      </c>
      <c r="G16" s="7">
        <v>48</v>
      </c>
      <c r="H16" s="4">
        <v>7600</v>
      </c>
      <c r="I16" s="8">
        <v>68.8</v>
      </c>
    </row>
    <row r="17" spans="1:9" ht="19.95" customHeight="1" x14ac:dyDescent="0.3">
      <c r="A17" s="2">
        <v>11</v>
      </c>
      <c r="B17" s="3" t="s">
        <v>23</v>
      </c>
      <c r="C17" s="4">
        <v>7650</v>
      </c>
      <c r="D17" s="5">
        <v>6.9</v>
      </c>
      <c r="E17" s="6">
        <v>2650000</v>
      </c>
      <c r="F17" s="4">
        <v>5400</v>
      </c>
      <c r="G17" s="7">
        <v>69</v>
      </c>
      <c r="H17" s="4">
        <v>3900</v>
      </c>
      <c r="I17" s="8">
        <v>73.5</v>
      </c>
    </row>
    <row r="18" spans="1:9" ht="19.95" customHeight="1" x14ac:dyDescent="0.3">
      <c r="A18" s="2">
        <v>12</v>
      </c>
      <c r="B18" s="3" t="s">
        <v>24</v>
      </c>
      <c r="C18" s="4">
        <v>5890</v>
      </c>
      <c r="D18" s="5">
        <v>5.8</v>
      </c>
      <c r="E18" s="6">
        <v>3100000</v>
      </c>
      <c r="F18" s="4">
        <v>4800</v>
      </c>
      <c r="G18" s="7">
        <v>77</v>
      </c>
      <c r="H18" s="4">
        <v>2850</v>
      </c>
      <c r="I18" s="8">
        <v>76.2</v>
      </c>
    </row>
    <row r="19" spans="1:9" ht="19.95" customHeight="1" x14ac:dyDescent="0.3">
      <c r="A19" s="2">
        <v>13</v>
      </c>
      <c r="B19" s="3" t="s">
        <v>25</v>
      </c>
      <c r="C19" s="4">
        <v>8240</v>
      </c>
      <c r="D19" s="5">
        <v>7.3</v>
      </c>
      <c r="E19" s="6">
        <v>2450000</v>
      </c>
      <c r="F19" s="4">
        <v>2900</v>
      </c>
      <c r="G19" s="7">
        <v>62</v>
      </c>
      <c r="H19" s="4">
        <v>4250</v>
      </c>
      <c r="I19" s="8">
        <v>72.400000000000006</v>
      </c>
    </row>
    <row r="20" spans="1:9" ht="19.95" customHeight="1" x14ac:dyDescent="0.3">
      <c r="A20" s="2">
        <v>14</v>
      </c>
      <c r="B20" s="3" t="s">
        <v>26</v>
      </c>
      <c r="C20" s="4">
        <v>6950</v>
      </c>
      <c r="D20" s="5">
        <v>6.1</v>
      </c>
      <c r="E20" s="6">
        <v>3050000</v>
      </c>
      <c r="F20" s="4">
        <v>5100</v>
      </c>
      <c r="G20" s="7">
        <v>76</v>
      </c>
      <c r="H20" s="4">
        <v>3300</v>
      </c>
      <c r="I20" s="8">
        <v>75.8</v>
      </c>
    </row>
    <row r="21" spans="1:9" ht="19.95" customHeight="1" x14ac:dyDescent="0.3">
      <c r="A21" s="2">
        <v>15</v>
      </c>
      <c r="B21" s="3" t="s">
        <v>27</v>
      </c>
      <c r="C21" s="4">
        <v>6120</v>
      </c>
      <c r="D21" s="5">
        <v>5.6</v>
      </c>
      <c r="E21" s="6">
        <v>3250000</v>
      </c>
      <c r="F21" s="4">
        <v>4300</v>
      </c>
      <c r="G21" s="7">
        <v>78</v>
      </c>
      <c r="H21" s="4">
        <v>2900</v>
      </c>
      <c r="I21" s="8">
        <v>76.5</v>
      </c>
    </row>
    <row r="22" spans="1:9" ht="19.95" customHeight="1" x14ac:dyDescent="0.3">
      <c r="A22" s="2">
        <v>16</v>
      </c>
      <c r="B22" s="3" t="s">
        <v>28</v>
      </c>
      <c r="C22" s="4">
        <v>5420</v>
      </c>
      <c r="D22" s="5">
        <v>5.3</v>
      </c>
      <c r="E22" s="6">
        <v>3380000</v>
      </c>
      <c r="F22" s="4">
        <v>4600</v>
      </c>
      <c r="G22" s="7">
        <v>80</v>
      </c>
      <c r="H22" s="4">
        <v>2650</v>
      </c>
      <c r="I22" s="8">
        <v>77.099999999999994</v>
      </c>
    </row>
    <row r="23" spans="1:9" ht="19.95" customHeight="1" x14ac:dyDescent="0.3">
      <c r="A23" s="2">
        <v>17</v>
      </c>
      <c r="B23" s="3" t="s">
        <v>29</v>
      </c>
      <c r="C23" s="4">
        <v>3980</v>
      </c>
      <c r="D23" s="5">
        <v>4.5999999999999996</v>
      </c>
      <c r="E23" s="6">
        <v>3680000</v>
      </c>
      <c r="F23" s="4">
        <v>7600</v>
      </c>
      <c r="G23" s="7">
        <v>86</v>
      </c>
      <c r="H23" s="4">
        <v>1790</v>
      </c>
      <c r="I23" s="8">
        <v>78.599999999999994</v>
      </c>
    </row>
    <row r="24" spans="1:9" ht="19.95" customHeight="1" x14ac:dyDescent="0.3">
      <c r="A24" s="2">
        <v>18</v>
      </c>
      <c r="B24" s="3" t="s">
        <v>30</v>
      </c>
      <c r="C24" s="4">
        <v>8950</v>
      </c>
      <c r="D24" s="5">
        <v>7.6</v>
      </c>
      <c r="E24" s="6">
        <v>2380000</v>
      </c>
      <c r="F24" s="4">
        <v>4900</v>
      </c>
      <c r="G24" s="7">
        <v>66</v>
      </c>
      <c r="H24" s="4">
        <v>4700</v>
      </c>
      <c r="I24" s="8">
        <v>72.900000000000006</v>
      </c>
    </row>
    <row r="25" spans="1:9" ht="22.05" customHeight="1" x14ac:dyDescent="0.3">
      <c r="A25" s="9"/>
      <c r="B25" s="9" t="s">
        <v>31</v>
      </c>
      <c r="C25" s="10">
        <f t="shared" ref="C25:I25" si="0">AVERAGE(C7:C24)</f>
        <v>7071.666666666667</v>
      </c>
      <c r="D25" s="11">
        <f t="shared" si="0"/>
        <v>6.3388888888888877</v>
      </c>
      <c r="E25" s="12">
        <f t="shared" si="0"/>
        <v>2983888.888888889</v>
      </c>
      <c r="F25" s="10">
        <f t="shared" si="0"/>
        <v>6108.333333333333</v>
      </c>
      <c r="G25" s="11">
        <f t="shared" si="0"/>
        <v>73.111111111111114</v>
      </c>
      <c r="H25" s="10">
        <f t="shared" si="0"/>
        <v>3580</v>
      </c>
      <c r="I25" s="13">
        <f t="shared" si="0"/>
        <v>75.23333333333332</v>
      </c>
    </row>
    <row r="26" spans="1:9" ht="22.05" customHeight="1" x14ac:dyDescent="0.3">
      <c r="A26" s="14"/>
      <c r="B26" s="14" t="s">
        <v>32</v>
      </c>
      <c r="C26" s="15">
        <f>SUM(C7:C24)</f>
        <v>127290</v>
      </c>
      <c r="D26" s="16" t="s">
        <v>33</v>
      </c>
      <c r="E26" s="16" t="s">
        <v>33</v>
      </c>
      <c r="F26" s="16" t="s">
        <v>33</v>
      </c>
      <c r="G26" s="16" t="s">
        <v>33</v>
      </c>
      <c r="H26" s="15">
        <f>SUM(H7:H24)</f>
        <v>64440</v>
      </c>
      <c r="I26" s="16" t="s">
        <v>33</v>
      </c>
    </row>
    <row r="28" spans="1:9" x14ac:dyDescent="0.3">
      <c r="A28" s="17"/>
    </row>
    <row r="29" spans="1:9" x14ac:dyDescent="0.3">
      <c r="A29" s="18"/>
    </row>
    <row r="30" spans="1:9" x14ac:dyDescent="0.3">
      <c r="A30" s="18"/>
    </row>
    <row r="31" spans="1:9" x14ac:dyDescent="0.3">
      <c r="A31" s="18"/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Kesra BPS Palembang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firli irsyandi</cp:lastModifiedBy>
  <dcterms:created xsi:type="dcterms:W3CDTF">2026-08-09T17:23:50Z</dcterms:created>
  <dcterms:modified xsi:type="dcterms:W3CDTF">2026-08-09T17:27:46Z</dcterms:modified>
</cp:coreProperties>
</file>